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endance" sheetId="1" r:id="rId5"/>
    <sheet state="visible" name="Master Sheet" sheetId="2" r:id="rId6"/>
    <sheet state="visible" name="Summary" sheetId="3" r:id="rId7"/>
  </sheets>
  <definedNames/>
  <calcPr/>
</workbook>
</file>

<file path=xl/sharedStrings.xml><?xml version="1.0" encoding="utf-8"?>
<sst xmlns="http://schemas.openxmlformats.org/spreadsheetml/2006/main" count="66" uniqueCount="43">
  <si>
    <t>Timestamp</t>
  </si>
  <si>
    <t>Subject Name</t>
  </si>
  <si>
    <t>Date</t>
  </si>
  <si>
    <t>Roll No</t>
  </si>
  <si>
    <t>Column 1</t>
  </si>
  <si>
    <t>Maths</t>
  </si>
  <si>
    <t>1, 2, 3, 5, 7, 9</t>
  </si>
  <si>
    <t>1, 2, 3, 5, 6, 8</t>
  </si>
  <si>
    <t>2, 3, 5, 7, 8, 9</t>
  </si>
  <si>
    <t>1, 2, 4, 6, 8, 9</t>
  </si>
  <si>
    <t>1, 2, 3, 4, 5, 7, 8, 9</t>
  </si>
  <si>
    <t>2, 3, 4, 5, 6, 8, 9</t>
  </si>
  <si>
    <t>1, 2, 4, 5, 7, 8, 9</t>
  </si>
  <si>
    <t>1, 2, 3, 4, 6, 9</t>
  </si>
  <si>
    <t>1, 2, 3, 4, 6, 8</t>
  </si>
  <si>
    <t>1, 2, 3, 5, 6, 8, 9</t>
  </si>
  <si>
    <t>1, 2, 4, 5, 7, 9</t>
  </si>
  <si>
    <t>Student Name</t>
  </si>
  <si>
    <t>1</t>
  </si>
  <si>
    <t>Aarav Sharma</t>
  </si>
  <si>
    <t>2</t>
  </si>
  <si>
    <t>Rohan Patel</t>
  </si>
  <si>
    <t>3</t>
  </si>
  <si>
    <t>Priya Verma</t>
  </si>
  <si>
    <t>4</t>
  </si>
  <si>
    <t>Ananya Singh</t>
  </si>
  <si>
    <t>5</t>
  </si>
  <si>
    <t>Kunal Mehta</t>
  </si>
  <si>
    <t>6</t>
  </si>
  <si>
    <t>Neha Gupta</t>
  </si>
  <si>
    <t>7</t>
  </si>
  <si>
    <t>Suresh Yadav</t>
  </si>
  <si>
    <t>8</t>
  </si>
  <si>
    <t>Pooja Nair</t>
  </si>
  <si>
    <t>9</t>
  </si>
  <si>
    <t>Aman Malhotra</t>
  </si>
  <si>
    <t>Total lectures</t>
  </si>
  <si>
    <t>Present Lectures</t>
  </si>
  <si>
    <t>Attendance %</t>
  </si>
  <si>
    <t>Lectures Needed (75%)</t>
  </si>
  <si>
    <t>Status</t>
  </si>
  <si>
    <t>AI Message</t>
  </si>
  <si>
    <t>required lectures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</si>
</sst>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Roboto"/>
    </font>
    <font>
      <color rgb="FF434343"/>
      <name val="Roboto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2" numFmtId="0" xfId="0" applyAlignment="1" applyFont="1">
      <alignment horizontal="left" readingOrder="0" shrinkToFit="0" vertical="center" wrapText="1"/>
    </xf>
    <xf borderId="1" fillId="2" fontId="3" numFmtId="49" xfId="0" applyAlignment="1" applyBorder="1" applyFill="1" applyFont="1" applyNumberFormat="1">
      <alignment shrinkToFit="0" vertical="center" wrapText="0"/>
    </xf>
    <xf borderId="1" fillId="2" fontId="3" numFmtId="0" xfId="0" applyAlignment="1" applyBorder="1" applyFont="1">
      <alignment shrinkToFit="0" vertical="center" wrapText="0"/>
    </xf>
    <xf borderId="1" fillId="3" fontId="3" numFmtId="49" xfId="0" applyAlignment="1" applyBorder="1" applyFill="1" applyFont="1" applyNumberFormat="1">
      <alignment shrinkToFit="0" vertical="center" wrapText="0"/>
    </xf>
    <xf borderId="1" fillId="3" fontId="3" numFmtId="0" xfId="0" applyAlignment="1" applyBorder="1" applyFont="1">
      <alignment shrinkToFit="0" vertical="center" wrapText="0"/>
    </xf>
    <xf borderId="2" fillId="3" fontId="4" numFmtId="49" xfId="0" applyAlignment="1" applyBorder="1" applyFont="1" applyNumberFormat="1">
      <alignment shrinkToFit="0" vertical="center" wrapText="0"/>
    </xf>
    <xf borderId="3" fillId="3" fontId="4" numFmtId="0" xfId="0" applyAlignment="1" applyBorder="1" applyFont="1">
      <alignment shrinkToFit="0" vertical="center" wrapText="0"/>
    </xf>
    <xf borderId="4" fillId="2" fontId="4" numFmtId="49" xfId="0" applyAlignment="1" applyBorder="1" applyFont="1" applyNumberFormat="1">
      <alignment shrinkToFit="0" vertical="center" wrapText="0"/>
    </xf>
    <xf borderId="5" fillId="2" fontId="4" numFmtId="0" xfId="0" applyAlignment="1" applyBorder="1" applyFont="1">
      <alignment shrinkToFit="0" vertical="center" wrapText="0"/>
    </xf>
    <xf borderId="6" fillId="3" fontId="4" numFmtId="49" xfId="0" applyAlignment="1" applyBorder="1" applyFont="1" applyNumberFormat="1">
      <alignment shrinkToFit="0" vertical="center" wrapText="0"/>
    </xf>
    <xf borderId="7" fillId="3" fontId="4" numFmtId="0" xfId="0" applyAlignment="1" applyBorder="1" applyFont="1">
      <alignment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3">
    <tableStyle count="4" pivot="0" name="Attendan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ster Sheet-style">
      <tableStyleElement dxfId="5" type="headerRow"/>
      <tableStyleElement dxfId="2" type="firstRowStripe"/>
      <tableStyleElement dxfId="6" type="secondRowStripe"/>
      <tableStyleElement dxfId="4" size="0" type="wholeTable"/>
    </tableStyle>
    <tableStyle count="4" pivot="0" name="Summary-style">
      <tableStyleElement dxfId="5" type="headerRow"/>
      <tableStyleElement dxfId="2" type="firstRowStripe"/>
      <tableStyleElement dxfId="6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9" displayName="Form_Responses" name="Form_Responses" id="1">
  <tableColumns count="5">
    <tableColumn name="Timestamp" id="1"/>
    <tableColumn name="Subject Name" id="2"/>
    <tableColumn name="Date" id="3"/>
    <tableColumn name="Roll No" id="4"/>
    <tableColumn name="Column 1" id="5"/>
  </tableColumns>
  <tableStyleInfo name="Attendance-style" showColumnStripes="0" showFirstColumn="1" showLastColumn="1" showRowStripes="1"/>
</table>
</file>

<file path=xl/tables/table2.xml><?xml version="1.0" encoding="utf-8"?>
<table xmlns="http://schemas.openxmlformats.org/spreadsheetml/2006/main" ref="A1:B15" displayName="Table1" name="Table1" id="2">
  <tableColumns count="2">
    <tableColumn name="Roll No" id="1"/>
    <tableColumn name="Student Name" id="2"/>
  </tableColumns>
  <tableStyleInfo name="Master Sheet-style" showColumnStripes="0" showFirstColumn="1" showLastColumn="1" showRowStripes="1"/>
</table>
</file>

<file path=xl/tables/table3.xml><?xml version="1.0" encoding="utf-8"?>
<table xmlns="http://schemas.openxmlformats.org/spreadsheetml/2006/main" ref="A1:J15" displayName="Table2" name="Table2" id="3">
  <tableColumns count="10">
    <tableColumn name="Roll No" id="1"/>
    <tableColumn name="Student Name" id="2"/>
    <tableColumn name="Total lectures" id="3"/>
    <tableColumn name="Present Lectures" id="4"/>
    <tableColumn name="Attendance %" id="5"/>
    <tableColumn name="Lectures Needed (75%)" id="6"/>
    <tableColumn name="Status" id="7"/>
    <tableColumn name="AI Message" id="8"/>
    <tableColumn name="required lectures" id="9"/>
    <tableColumn name="Column 1" id="10"/>
  </tableColumns>
  <tableStyleInfo name="Summa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22.5" customHeight="1">
      <c r="A2" s="3">
        <v>46020.60320113426</v>
      </c>
      <c r="B2" s="4" t="s">
        <v>5</v>
      </c>
      <c r="C2" s="5">
        <v>45992.0</v>
      </c>
      <c r="D2" s="4" t="s">
        <v>6</v>
      </c>
      <c r="E2" s="6"/>
    </row>
    <row r="3" ht="22.5" customHeight="1">
      <c r="A3" s="3">
        <v>46020.60349194444</v>
      </c>
      <c r="B3" s="4" t="s">
        <v>5</v>
      </c>
      <c r="C3" s="5">
        <v>45993.0</v>
      </c>
      <c r="D3" s="4" t="s">
        <v>7</v>
      </c>
      <c r="E3" s="6"/>
    </row>
    <row r="4" ht="22.5" customHeight="1">
      <c r="A4" s="3">
        <v>46020.603703252316</v>
      </c>
      <c r="B4" s="4" t="s">
        <v>5</v>
      </c>
      <c r="C4" s="5">
        <v>45994.0</v>
      </c>
      <c r="D4" s="4" t="s">
        <v>8</v>
      </c>
      <c r="E4" s="6"/>
    </row>
    <row r="5" ht="22.5" customHeight="1">
      <c r="A5" s="7">
        <v>46020.69385935186</v>
      </c>
      <c r="B5" s="8" t="s">
        <v>5</v>
      </c>
      <c r="C5" s="9">
        <v>45995.0</v>
      </c>
      <c r="D5" s="8" t="s">
        <v>9</v>
      </c>
      <c r="E5" s="6"/>
    </row>
    <row r="6" ht="22.5" customHeight="1">
      <c r="A6" s="7">
        <v>46020.7850516551</v>
      </c>
      <c r="B6" s="8" t="s">
        <v>5</v>
      </c>
      <c r="C6" s="9">
        <v>46008.0</v>
      </c>
      <c r="D6" s="8" t="s">
        <v>10</v>
      </c>
      <c r="E6" s="6"/>
    </row>
    <row r="7" ht="22.5" customHeight="1">
      <c r="A7" s="7">
        <v>46020.78543719907</v>
      </c>
      <c r="B7" s="8" t="s">
        <v>5</v>
      </c>
      <c r="C7" s="9">
        <v>46010.0</v>
      </c>
      <c r="D7" s="8" t="s">
        <v>11</v>
      </c>
      <c r="E7" s="6"/>
    </row>
    <row r="8" ht="22.5" customHeight="1">
      <c r="A8" s="7">
        <v>46020.78566306713</v>
      </c>
      <c r="B8" s="8" t="s">
        <v>5</v>
      </c>
      <c r="C8" s="9">
        <v>46010.0</v>
      </c>
      <c r="D8" s="8" t="s">
        <v>12</v>
      </c>
      <c r="E8" s="6"/>
    </row>
    <row r="9" ht="22.5" customHeight="1">
      <c r="A9" s="7">
        <v>46020.78585201389</v>
      </c>
      <c r="B9" s="8" t="s">
        <v>5</v>
      </c>
      <c r="C9" s="9">
        <v>46014.0</v>
      </c>
      <c r="D9" s="8" t="s">
        <v>13</v>
      </c>
      <c r="E9" s="6"/>
    </row>
    <row r="10" ht="22.5" customHeight="1">
      <c r="A10" s="7"/>
      <c r="C10" s="9"/>
      <c r="E10" s="6"/>
    </row>
    <row r="11" ht="22.5" customHeight="1">
      <c r="A11" s="7">
        <v>46020.78641729167</v>
      </c>
      <c r="B11" s="8" t="s">
        <v>5</v>
      </c>
      <c r="C11" s="9">
        <v>46015.0</v>
      </c>
      <c r="D11" s="8" t="s">
        <v>14</v>
      </c>
      <c r="E11" s="6"/>
    </row>
    <row r="12" ht="22.5" customHeight="1">
      <c r="A12" s="7">
        <v>46020.784773657404</v>
      </c>
      <c r="B12" s="8" t="s">
        <v>5</v>
      </c>
      <c r="C12" s="9">
        <v>46007.0</v>
      </c>
      <c r="D12" s="8" t="s">
        <v>15</v>
      </c>
      <c r="E12" s="6"/>
    </row>
    <row r="13" ht="22.5" customHeight="1">
      <c r="A13" s="7"/>
      <c r="C13" s="9"/>
      <c r="E13" s="6"/>
    </row>
    <row r="14" ht="22.5" customHeight="1">
      <c r="A14" s="7"/>
      <c r="C14" s="9"/>
      <c r="E14" s="6"/>
    </row>
    <row r="15" ht="22.5" customHeight="1">
      <c r="A15" s="7"/>
      <c r="C15" s="9"/>
      <c r="E15" s="6"/>
    </row>
    <row r="16" ht="22.5" customHeight="1">
      <c r="A16" s="7"/>
      <c r="C16" s="9"/>
      <c r="E16" s="6"/>
    </row>
    <row r="17" ht="22.5" customHeight="1">
      <c r="A17" s="7"/>
      <c r="C17" s="9"/>
      <c r="E17" s="6"/>
    </row>
    <row r="18" ht="22.5" customHeight="1">
      <c r="A18" s="7"/>
      <c r="C18" s="9"/>
      <c r="E18" s="6"/>
    </row>
    <row r="19" ht="22.5" customHeight="1">
      <c r="A19" s="7">
        <v>46023.91005800926</v>
      </c>
      <c r="B19" s="8" t="s">
        <v>5</v>
      </c>
      <c r="C19" s="9">
        <v>46019.0</v>
      </c>
      <c r="D19" s="8" t="s">
        <v>16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75"/>
    <col customWidth="1" min="2" max="2" width="26.13"/>
  </cols>
  <sheetData>
    <row r="1" ht="22.5" customHeight="1">
      <c r="A1" s="10" t="s">
        <v>3</v>
      </c>
      <c r="B1" s="10" t="s">
        <v>17</v>
      </c>
    </row>
    <row r="2" ht="22.5" customHeight="1">
      <c r="A2" s="11" t="s">
        <v>18</v>
      </c>
      <c r="B2" s="12" t="s">
        <v>19</v>
      </c>
    </row>
    <row r="3" ht="22.5" customHeight="1">
      <c r="A3" s="13" t="s">
        <v>20</v>
      </c>
      <c r="B3" s="14" t="s">
        <v>21</v>
      </c>
    </row>
    <row r="4" ht="22.5" customHeight="1">
      <c r="A4" s="11" t="s">
        <v>22</v>
      </c>
      <c r="B4" s="12" t="s">
        <v>23</v>
      </c>
    </row>
    <row r="5" ht="22.5" customHeight="1">
      <c r="A5" s="13" t="s">
        <v>24</v>
      </c>
      <c r="B5" s="14" t="s">
        <v>25</v>
      </c>
    </row>
    <row r="6" ht="22.5" customHeight="1">
      <c r="A6" s="11" t="s">
        <v>26</v>
      </c>
      <c r="B6" s="12" t="s">
        <v>27</v>
      </c>
    </row>
    <row r="7" ht="22.5" customHeight="1">
      <c r="A7" s="13" t="s">
        <v>28</v>
      </c>
      <c r="B7" s="14" t="s">
        <v>29</v>
      </c>
    </row>
    <row r="8" ht="22.5" customHeight="1">
      <c r="A8" s="11" t="s">
        <v>30</v>
      </c>
      <c r="B8" s="12" t="s">
        <v>31</v>
      </c>
    </row>
    <row r="9" ht="22.5" customHeight="1">
      <c r="A9" s="13" t="s">
        <v>32</v>
      </c>
      <c r="B9" s="14" t="s">
        <v>33</v>
      </c>
    </row>
    <row r="10" ht="22.5" customHeight="1">
      <c r="A10" s="11" t="s">
        <v>34</v>
      </c>
      <c r="B10" s="12" t="s">
        <v>35</v>
      </c>
    </row>
    <row r="11" ht="22.5" customHeight="1">
      <c r="A11" s="15"/>
      <c r="B11" s="16"/>
    </row>
    <row r="12" ht="22.5" customHeight="1">
      <c r="A12" s="17"/>
      <c r="B12" s="18"/>
    </row>
    <row r="13" ht="22.5" customHeight="1">
      <c r="A13" s="15"/>
      <c r="B13" s="16"/>
    </row>
    <row r="14" ht="22.5" customHeight="1">
      <c r="A14" s="17"/>
      <c r="B14" s="18"/>
    </row>
    <row r="15" ht="22.5" customHeight="1">
      <c r="A15" s="19"/>
      <c r="B15" s="20"/>
    </row>
  </sheetData>
  <dataValidations>
    <dataValidation allowBlank="1" showDropDown="1" sqref="A2:A15"/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5"/>
    <col customWidth="1" min="2" max="5" width="22.63"/>
    <col customWidth="1" min="6" max="6" width="26.0"/>
    <col customWidth="1" min="7" max="7" width="18.63"/>
    <col customWidth="1" min="8" max="8" width="64.0"/>
    <col customWidth="1" min="9" max="9" width="16.5"/>
  </cols>
  <sheetData>
    <row r="1" ht="22.5" customHeight="1">
      <c r="A1" s="21" t="s">
        <v>3</v>
      </c>
      <c r="B1" s="21" t="s">
        <v>17</v>
      </c>
      <c r="C1" s="21" t="s">
        <v>36</v>
      </c>
      <c r="D1" s="21" t="s">
        <v>37</v>
      </c>
      <c r="E1" s="21" t="s">
        <v>38</v>
      </c>
      <c r="F1" s="21" t="s">
        <v>39</v>
      </c>
      <c r="G1" s="22" t="s">
        <v>40</v>
      </c>
      <c r="H1" s="22" t="s">
        <v>41</v>
      </c>
      <c r="I1" s="22" t="s">
        <v>42</v>
      </c>
      <c r="J1" s="22" t="s">
        <v>4</v>
      </c>
    </row>
    <row r="2" ht="22.5" customHeight="1">
      <c r="A2" s="23" t="s">
        <v>18</v>
      </c>
      <c r="B2" s="24" t="str">
        <f>IFERROR(VLOOKUP(A2,'Master Sheet'!A:B,2,FALSE),"")</f>
        <v>Aarav Sharma</v>
      </c>
      <c r="C2" s="25">
        <v>12.0</v>
      </c>
      <c r="D2" s="24">
        <f>COUNTIF(Attendance!D:D,"*"&amp;A2&amp;"*")
</f>
        <v>9</v>
      </c>
      <c r="E2" s="24">
        <f t="shared" ref="E2:E10" si="1">IF(C2=0,0,(D2/C2)*100)</f>
        <v>75</v>
      </c>
      <c r="F2" s="26">
        <f t="shared" ref="F2:F10" si="2">MAX(0, CEILING(0.75*C2,1) - D2)
</f>
        <v>0</v>
      </c>
      <c r="G2" s="27" t="str">
        <f t="shared" ref="G2:G10" si="3">IF(E2&gt;=75,"Safe","Low Attendance")</f>
        <v>Safe</v>
      </c>
      <c r="H2" s="27" t="str">
        <f t="shared" ref="H2:H10" si="4">IF(G2="Safe",
"",
IF(F2="Not Possible",
"Your attendance is "&amp;TEXT(E2,"0")&amp;"%. Unfortunately, it is not possible to reach the minimum attendance requirement this month.",
"Your attendance is "&amp;TEXT(E2,"0")&amp;"%. You need to attend the next "&amp;F2&amp;" lectures to reach the required attendance."))
</f>
        <v/>
      </c>
      <c r="I2" s="27">
        <f t="shared" ref="I2:I10" si="5">CEILING(0.75*C2,1)</f>
        <v>9</v>
      </c>
      <c r="J2" s="27">
        <f>IFERROR(__xludf.DUMMYFUNCTION("COUNTUNIQUE(FILTER('Attendance 1'!A:A,'Attendance 1'!A:A&lt;&gt;""""))
"),1.0)</f>
        <v>1</v>
      </c>
    </row>
    <row r="3" ht="22.5" customHeight="1">
      <c r="A3" s="23" t="s">
        <v>20</v>
      </c>
      <c r="B3" s="24" t="str">
        <f>IFERROR(VLOOKUP(A3,'Master Sheet'!A:B,2,FALSE),"")</f>
        <v>Rohan Patel</v>
      </c>
      <c r="C3" s="25">
        <v>12.0</v>
      </c>
      <c r="D3" s="24">
        <f>COUNTIF(Attendance!D:D,"*"&amp;A3&amp;"*")
</f>
        <v>11</v>
      </c>
      <c r="E3" s="24">
        <f t="shared" si="1"/>
        <v>91.66666667</v>
      </c>
      <c r="F3" s="26">
        <f t="shared" si="2"/>
        <v>0</v>
      </c>
      <c r="G3" s="27" t="str">
        <f t="shared" si="3"/>
        <v>Safe</v>
      </c>
      <c r="H3" s="27" t="str">
        <f t="shared" si="4"/>
        <v/>
      </c>
      <c r="I3" s="27">
        <f t="shared" si="5"/>
        <v>9</v>
      </c>
      <c r="J3" s="27">
        <f>IFERROR(__xludf.DUMMYFUNCTION("COUNTUNIQUE(FILTER('Attendance 1'!A:A,'Attendance 1'!A:A&lt;&gt;""""))
"),1.0)</f>
        <v>1</v>
      </c>
    </row>
    <row r="4" ht="22.5" customHeight="1">
      <c r="A4" s="23" t="s">
        <v>22</v>
      </c>
      <c r="B4" s="24" t="str">
        <f>IFERROR(VLOOKUP(A4,'Master Sheet'!A:B,2,FALSE),"")</f>
        <v>Priya Verma</v>
      </c>
      <c r="C4" s="25">
        <v>12.0</v>
      </c>
      <c r="D4" s="24">
        <f>COUNTIF(Attendance!D:D,"*"&amp;A4&amp;"*")
</f>
        <v>8</v>
      </c>
      <c r="E4" s="24">
        <f t="shared" si="1"/>
        <v>66.66666667</v>
      </c>
      <c r="F4" s="26">
        <f t="shared" si="2"/>
        <v>1</v>
      </c>
      <c r="G4" s="27" t="str">
        <f t="shared" si="3"/>
        <v>Low Attendance</v>
      </c>
      <c r="H4" s="27" t="str">
        <f t="shared" si="4"/>
        <v>Your attendance is 67%. You need to attend the next 1 lectures to reach the required attendance.</v>
      </c>
      <c r="I4" s="27">
        <f t="shared" si="5"/>
        <v>9</v>
      </c>
      <c r="J4" s="27">
        <f>IFERROR(__xludf.DUMMYFUNCTION("COUNTUNIQUE(FILTER('Attendance 1'!A:A,'Attendance 1'!A:A&lt;&gt;""""))
"),1.0)</f>
        <v>1</v>
      </c>
    </row>
    <row r="5" ht="22.5" customHeight="1">
      <c r="A5" s="23" t="s">
        <v>24</v>
      </c>
      <c r="B5" s="24" t="str">
        <f>IFERROR(VLOOKUP(A5,'Master Sheet'!A:B,2,FALSE),"")</f>
        <v>Ananya Singh</v>
      </c>
      <c r="C5" s="25">
        <v>12.0</v>
      </c>
      <c r="D5" s="24">
        <f>COUNTIF(Attendance!D:D,"*"&amp;A5&amp;"*")
</f>
        <v>7</v>
      </c>
      <c r="E5" s="24">
        <f t="shared" si="1"/>
        <v>58.33333333</v>
      </c>
      <c r="F5" s="26">
        <f t="shared" si="2"/>
        <v>2</v>
      </c>
      <c r="G5" s="27" t="str">
        <f t="shared" si="3"/>
        <v>Low Attendance</v>
      </c>
      <c r="H5" s="27" t="str">
        <f t="shared" si="4"/>
        <v>Your attendance is 58%. You need to attend the next 2 lectures to reach the required attendance.</v>
      </c>
      <c r="I5" s="27">
        <f t="shared" si="5"/>
        <v>9</v>
      </c>
      <c r="J5" s="27">
        <f>IFERROR(__xludf.DUMMYFUNCTION("COUNTUNIQUE(FILTER('Attendance 1'!A:A,'Attendance 1'!A:A&lt;&gt;""""))
"),1.0)</f>
        <v>1</v>
      </c>
    </row>
    <row r="6" ht="22.5" customHeight="1">
      <c r="A6" s="23" t="s">
        <v>26</v>
      </c>
      <c r="B6" s="24" t="str">
        <f>IFERROR(VLOOKUP(A6,'Master Sheet'!A:B,2,FALSE),"")</f>
        <v>Kunal Mehta</v>
      </c>
      <c r="C6" s="25">
        <v>12.0</v>
      </c>
      <c r="D6" s="24">
        <f>COUNTIF(Attendance!D:D,"*"&amp;A6&amp;"*")
</f>
        <v>8</v>
      </c>
      <c r="E6" s="24">
        <f t="shared" si="1"/>
        <v>66.66666667</v>
      </c>
      <c r="F6" s="26">
        <f t="shared" si="2"/>
        <v>1</v>
      </c>
      <c r="G6" s="27" t="str">
        <f t="shared" si="3"/>
        <v>Low Attendance</v>
      </c>
      <c r="H6" s="27" t="str">
        <f t="shared" si="4"/>
        <v>Your attendance is 67%. You need to attend the next 1 lectures to reach the required attendance.</v>
      </c>
      <c r="I6" s="27">
        <f t="shared" si="5"/>
        <v>9</v>
      </c>
      <c r="J6" s="27">
        <f>IFERROR(__xludf.DUMMYFUNCTION("COUNTUNIQUE(FILTER('Attendance 1'!A:A,'Attendance 1'!A:A&lt;&gt;""""))
"),1.0)</f>
        <v>1</v>
      </c>
    </row>
    <row r="7" ht="22.5" customHeight="1">
      <c r="A7" s="23" t="s">
        <v>28</v>
      </c>
      <c r="B7" s="24" t="str">
        <f>IFERROR(VLOOKUP(A7,'Master Sheet'!A:B,2,FALSE),"")</f>
        <v>Neha Gupta</v>
      </c>
      <c r="C7" s="25">
        <v>12.0</v>
      </c>
      <c r="D7" s="24">
        <f>COUNTIF(Attendance!D:D,"*"&amp;A7&amp;"*")
</f>
        <v>6</v>
      </c>
      <c r="E7" s="24">
        <f t="shared" si="1"/>
        <v>50</v>
      </c>
      <c r="F7" s="26">
        <f t="shared" si="2"/>
        <v>3</v>
      </c>
      <c r="G7" s="27" t="str">
        <f t="shared" si="3"/>
        <v>Low Attendance</v>
      </c>
      <c r="H7" s="27" t="str">
        <f t="shared" si="4"/>
        <v>Your attendance is 50%. You need to attend the next 3 lectures to reach the required attendance.</v>
      </c>
      <c r="I7" s="27">
        <f t="shared" si="5"/>
        <v>9</v>
      </c>
      <c r="J7" s="27">
        <f>IFERROR(__xludf.DUMMYFUNCTION("COUNTUNIQUE(FILTER('Attendance 1'!A:A,'Attendance 1'!A:A&lt;&gt;""""))
"),1.0)</f>
        <v>1</v>
      </c>
    </row>
    <row r="8" ht="22.5" customHeight="1">
      <c r="A8" s="23" t="s">
        <v>30</v>
      </c>
      <c r="B8" s="24" t="str">
        <f>IFERROR(VLOOKUP(A8,'Master Sheet'!A:B,2,FALSE),"")</f>
        <v>Suresh Yadav</v>
      </c>
      <c r="C8" s="25">
        <v>12.0</v>
      </c>
      <c r="D8" s="24">
        <f>COUNTIF(Attendance!D:D,"*"&amp;A8&amp;"*")
</f>
        <v>5</v>
      </c>
      <c r="E8" s="24">
        <f t="shared" si="1"/>
        <v>41.66666667</v>
      </c>
      <c r="F8" s="26">
        <f t="shared" si="2"/>
        <v>4</v>
      </c>
      <c r="G8" s="27" t="str">
        <f t="shared" si="3"/>
        <v>Low Attendance</v>
      </c>
      <c r="H8" s="27" t="str">
        <f t="shared" si="4"/>
        <v>Your attendance is 42%. You need to attend the next 4 lectures to reach the required attendance.</v>
      </c>
      <c r="I8" s="27">
        <f t="shared" si="5"/>
        <v>9</v>
      </c>
      <c r="J8" s="27">
        <f>IFERROR(__xludf.DUMMYFUNCTION("COUNTUNIQUE(FILTER('Attendance 1'!A:A,'Attendance 1'!A:A&lt;&gt;""""))
"),1.0)</f>
        <v>1</v>
      </c>
    </row>
    <row r="9" ht="22.5" customHeight="1">
      <c r="A9" s="23" t="s">
        <v>32</v>
      </c>
      <c r="B9" s="24" t="str">
        <f>IFERROR(VLOOKUP(A9,'Master Sheet'!A:B,2,FALSE),"")</f>
        <v>Pooja Nair</v>
      </c>
      <c r="C9" s="25">
        <v>12.0</v>
      </c>
      <c r="D9" s="24">
        <f>COUNTIF(Attendance!D:D,"*"&amp;A9&amp;"*")
</f>
        <v>8</v>
      </c>
      <c r="E9" s="24">
        <f t="shared" si="1"/>
        <v>66.66666667</v>
      </c>
      <c r="F9" s="26">
        <f t="shared" si="2"/>
        <v>1</v>
      </c>
      <c r="G9" s="27" t="str">
        <f t="shared" si="3"/>
        <v>Low Attendance</v>
      </c>
      <c r="H9" s="27" t="str">
        <f t="shared" si="4"/>
        <v>Your attendance is 67%. You need to attend the next 1 lectures to reach the required attendance.</v>
      </c>
      <c r="I9" s="27">
        <f t="shared" si="5"/>
        <v>9</v>
      </c>
      <c r="J9" s="27">
        <f>IFERROR(__xludf.DUMMYFUNCTION("COUNTUNIQUE(FILTER('Attendance 1'!A:A,'Attendance 1'!A:A&lt;&gt;""""))
"),1.0)</f>
        <v>1</v>
      </c>
    </row>
    <row r="10" ht="22.5" customHeight="1">
      <c r="A10" s="23" t="s">
        <v>34</v>
      </c>
      <c r="B10" s="24" t="str">
        <f>IFERROR(VLOOKUP(A10,'Master Sheet'!A:B,2,FALSE),"")</f>
        <v>Aman Malhotra</v>
      </c>
      <c r="C10" s="25">
        <v>12.0</v>
      </c>
      <c r="D10" s="24">
        <f>COUNTIF(Attendance!D:D,"*"&amp;A10&amp;"*")
</f>
        <v>9</v>
      </c>
      <c r="E10" s="24">
        <f t="shared" si="1"/>
        <v>75</v>
      </c>
      <c r="F10" s="26">
        <f t="shared" si="2"/>
        <v>0</v>
      </c>
      <c r="G10" s="27" t="str">
        <f t="shared" si="3"/>
        <v>Safe</v>
      </c>
      <c r="H10" s="27" t="str">
        <f t="shared" si="4"/>
        <v/>
      </c>
      <c r="I10" s="27">
        <f t="shared" si="5"/>
        <v>9</v>
      </c>
      <c r="J10" s="27">
        <f>IFERROR(__xludf.DUMMYFUNCTION("COUNTUNIQUE(FILTER('Attendance 1'!A:A,'Attendance 1'!A:A&lt;&gt;""""))
"),1.0)</f>
        <v>1</v>
      </c>
    </row>
    <row r="11" ht="22.5" customHeight="1">
      <c r="A11" s="26"/>
      <c r="B11" s="24" t="str">
        <f>IFERROR(VLOOKUP(A11,'Master Sheet'!A:B,2,FALSE),"")</f>
        <v/>
      </c>
      <c r="C11" s="24"/>
      <c r="D11" s="24"/>
      <c r="E11" s="24"/>
      <c r="F11" s="26"/>
    </row>
    <row r="12" ht="22.5" customHeight="1">
      <c r="A12" s="26"/>
      <c r="B12" s="24" t="str">
        <f>IFERROR(VLOOKUP(A12,'Master Sheet'!A:B,2,FALSE),"")</f>
        <v/>
      </c>
      <c r="C12" s="24"/>
      <c r="D12" s="24"/>
      <c r="E12" s="24"/>
      <c r="F12" s="26"/>
    </row>
    <row r="13" ht="22.5" customHeight="1">
      <c r="A13" s="26"/>
      <c r="B13" s="24" t="str">
        <f>IFERROR(VLOOKUP(A13,'Master Sheet'!A:B,2,FALSE),"")</f>
        <v/>
      </c>
      <c r="C13" s="24"/>
      <c r="D13" s="24"/>
      <c r="E13" s="24"/>
      <c r="F13" s="26"/>
    </row>
    <row r="14" ht="22.5" customHeight="1">
      <c r="A14" s="26"/>
      <c r="B14" s="24" t="str">
        <f>IFERROR(VLOOKUP(A14,'Master Sheet'!A:B,2,FALSE),"")</f>
        <v/>
      </c>
      <c r="C14" s="24"/>
      <c r="D14" s="24"/>
      <c r="E14" s="24"/>
      <c r="F14" s="26"/>
    </row>
    <row r="15" ht="22.5" customHeight="1">
      <c r="A15" s="26"/>
      <c r="B15" s="24" t="str">
        <f>IFERROR(VLOOKUP(A15,'Master Sheet'!A:B,2,FALSE),"")</f>
        <v/>
      </c>
      <c r="C15" s="24"/>
      <c r="D15" s="24"/>
      <c r="E15" s="24"/>
      <c r="F15" s="26"/>
    </row>
  </sheetData>
  <dataValidations>
    <dataValidation allowBlank="1" showDropDown="1" sqref="A2:A15"/>
  </dataValidations>
  <drawing r:id="rId1"/>
  <tableParts count="1">
    <tablePart r:id="rId3"/>
  </tableParts>
</worksheet>
</file>